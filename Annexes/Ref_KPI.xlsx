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Formation BI\Annexes\"/>
    </mc:Choice>
  </mc:AlternateContent>
  <bookViews>
    <workbookView xWindow="-110" yWindow="-110" windowWidth="23260" windowHeight="12460"/>
  </bookViews>
  <sheets>
    <sheet name="Ref KPIs" sheetId="1" r:id="rId1"/>
    <sheet name="Annexes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3" l="1"/>
  <c r="K6" i="3"/>
  <c r="K7" i="3"/>
  <c r="K8" i="3"/>
  <c r="K9" i="3"/>
  <c r="K4" i="3"/>
  <c r="M20" i="3"/>
  <c r="N20" i="3" s="1"/>
  <c r="L9" i="3"/>
  <c r="L8" i="3"/>
  <c r="L6" i="3"/>
  <c r="L7" i="3"/>
  <c r="L5" i="3"/>
  <c r="L4" i="3"/>
  <c r="L12" i="3" s="1"/>
</calcChain>
</file>

<file path=xl/sharedStrings.xml><?xml version="1.0" encoding="utf-8"?>
<sst xmlns="http://schemas.openxmlformats.org/spreadsheetml/2006/main" count="117" uniqueCount="107">
  <si>
    <t>Réferentiel des KPI's</t>
  </si>
  <si>
    <t>Nom KPIs</t>
  </si>
  <si>
    <t>Famille</t>
  </si>
  <si>
    <t>Nbre de produits</t>
  </si>
  <si>
    <t>Nbre de Fournisseurs</t>
  </si>
  <si>
    <t>Nbre de Magasins</t>
  </si>
  <si>
    <t>Nbre de Departements</t>
  </si>
  <si>
    <t>Nbre de Bannieres</t>
  </si>
  <si>
    <t>Nbre de Categories</t>
  </si>
  <si>
    <t>Définition</t>
  </si>
  <si>
    <t>Sources</t>
  </si>
  <si>
    <t>DimProduit</t>
  </si>
  <si>
    <t>DimFournisseur</t>
  </si>
  <si>
    <t>DimMagasin</t>
  </si>
  <si>
    <t>DimDepartement</t>
  </si>
  <si>
    <t>DimBanniere</t>
  </si>
  <si>
    <t>DimCategorie</t>
  </si>
  <si>
    <t>Nbre de lignes total de la table DimProduit</t>
  </si>
  <si>
    <t>Inventaire</t>
  </si>
  <si>
    <t>Nbre de transactions</t>
  </si>
  <si>
    <t>Commentaires</t>
  </si>
  <si>
    <t>Nbre de transactions n-1</t>
  </si>
  <si>
    <t>Ecart Nbre de transactions n-1</t>
  </si>
  <si>
    <t>% Ecart Nbre de transactions n-1</t>
  </si>
  <si>
    <t>Nbre de transactions YTD</t>
  </si>
  <si>
    <t>Chiffre d'afaires</t>
  </si>
  <si>
    <t>Chiffre d'afaires n-1</t>
  </si>
  <si>
    <t>Ecart Chiffre d'afaires n-1</t>
  </si>
  <si>
    <t>% Ecart Chiffre d'afaires n-1</t>
  </si>
  <si>
    <t>Chiffre d'afaires YTD</t>
  </si>
  <si>
    <t>Chiffre d'affaires</t>
  </si>
  <si>
    <t>FaitVentes</t>
  </si>
  <si>
    <t>FaitVentes, DimProduit</t>
  </si>
  <si>
    <t>N° KPIs</t>
  </si>
  <si>
    <t>Ind1</t>
  </si>
  <si>
    <t>Ind2</t>
  </si>
  <si>
    <t>Ind3</t>
  </si>
  <si>
    <t>Ind4</t>
  </si>
  <si>
    <t>Ind5</t>
  </si>
  <si>
    <t>Ind6</t>
  </si>
  <si>
    <t>Ind7</t>
  </si>
  <si>
    <t>Ind8</t>
  </si>
  <si>
    <t>Ind9</t>
  </si>
  <si>
    <t>Ind10</t>
  </si>
  <si>
    <t>Ind11</t>
  </si>
  <si>
    <t>Ind12</t>
  </si>
  <si>
    <t>Ind13</t>
  </si>
  <si>
    <t>Ind14</t>
  </si>
  <si>
    <t>Ind15</t>
  </si>
  <si>
    <t>Ind16</t>
  </si>
  <si>
    <t>Le nombre total de ligne de la table FaitVentes</t>
  </si>
  <si>
    <t>Coûts</t>
  </si>
  <si>
    <t>Marge</t>
  </si>
  <si>
    <t>Ind17</t>
  </si>
  <si>
    <t>Ind18</t>
  </si>
  <si>
    <t>Ind19</t>
  </si>
  <si>
    <t>Ventes Nettes</t>
  </si>
  <si>
    <t>Transactions</t>
  </si>
  <si>
    <t>Nbre de transaction Année précdente</t>
  </si>
  <si>
    <t>N° Produit</t>
  </si>
  <si>
    <t>Nom Produit</t>
  </si>
  <si>
    <t>PU</t>
  </si>
  <si>
    <t>CU</t>
  </si>
  <si>
    <t>PC</t>
  </si>
  <si>
    <t>Clavier</t>
  </si>
  <si>
    <t>Souris</t>
  </si>
  <si>
    <t>P01</t>
  </si>
  <si>
    <t>P02</t>
  </si>
  <si>
    <t>P03</t>
  </si>
  <si>
    <t>N° Facture</t>
  </si>
  <si>
    <t>Qté</t>
  </si>
  <si>
    <t>F01</t>
  </si>
  <si>
    <t>F02</t>
  </si>
  <si>
    <t>F03</t>
  </si>
  <si>
    <t>F04</t>
  </si>
  <si>
    <t>F05</t>
  </si>
  <si>
    <t>F06</t>
  </si>
  <si>
    <t>Mnt payé (Qté * PU)</t>
  </si>
  <si>
    <t>CA =</t>
  </si>
  <si>
    <t>(Qté * PU)F01 + …...... + (Qté * PU)F06</t>
  </si>
  <si>
    <t>SUMX</t>
  </si>
  <si>
    <t>Rabais</t>
  </si>
  <si>
    <t>Cout n-1</t>
  </si>
  <si>
    <t>Ecart cout n-1</t>
  </si>
  <si>
    <t>% Ecart cout n-1</t>
  </si>
  <si>
    <t>Cout YTD</t>
  </si>
  <si>
    <t>Rabais%</t>
  </si>
  <si>
    <t>Mnt Red</t>
  </si>
  <si>
    <t>Mnt Payé</t>
  </si>
  <si>
    <t>Règle de gestion métier -formules</t>
  </si>
  <si>
    <t>Axes d'analyse</t>
  </si>
  <si>
    <t>Période (Jour, sem,  Mois, trim, sem</t>
  </si>
  <si>
    <t>Ind20</t>
  </si>
  <si>
    <t>Ind21</t>
  </si>
  <si>
    <t>Ind22</t>
  </si>
  <si>
    <t>Ind23</t>
  </si>
  <si>
    <t>Ind24</t>
  </si>
  <si>
    <t>Nom du projet : Conception et automatisation du tableau de bord des ventes</t>
  </si>
  <si>
    <t>Période (Jour, sem,  Mois, trim, sem, Année)
Fournisseur
Deârtement</t>
  </si>
  <si>
    <t xml:space="preserve"> </t>
  </si>
  <si>
    <t xml:space="preserve">Ventes brutes= nombres vendus fois le prix unitaire </t>
  </si>
  <si>
    <t>CA</t>
  </si>
  <si>
    <t>C'est le coût d'aquisition de chaque produit par le commercant</t>
  </si>
  <si>
    <t>Coût =nombres vendus fois le coût unitaire</t>
  </si>
  <si>
    <t>Ventes brutes -Rabais</t>
  </si>
  <si>
    <t>ventes brutes fois % de rabais</t>
  </si>
  <si>
    <t>Le benefice avant deduction des depenses effectuées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</si>
</sst>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Lato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Lato"/>
      <family val="2"/>
    </font>
    <font>
      <sz val="14"/>
      <color theme="1"/>
      <name val="Calibri"/>
      <family val="2"/>
      <scheme val="minor"/>
    </font>
    <font>
      <sz val="14"/>
      <name val="Lato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1" fillId="3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 applyFill="1"/>
    <xf numFmtId="0" fontId="5" fillId="0" borderId="0" xfId="0" applyFont="1" applyFill="1" applyAlignment="1">
      <alignment horizontal="center" vertical="center"/>
    </xf>
    <xf numFmtId="0" fontId="5" fillId="0" borderId="0" xfId="0" applyFont="1" applyFill="1"/>
    <xf numFmtId="14" fontId="5" fillId="0" borderId="0" xfId="0" applyNumberFormat="1" applyFont="1" applyFill="1"/>
    <xf numFmtId="0" fontId="4" fillId="0" borderId="0" xfId="0" applyFont="1" applyFill="1" applyAlignment="1">
      <alignment horizontal="right"/>
    </xf>
    <xf numFmtId="0" fontId="7" fillId="0" borderId="0" xfId="0" applyFont="1"/>
    <xf numFmtId="0" fontId="8" fillId="0" borderId="0" xfId="0" applyFont="1"/>
    <xf numFmtId="0" fontId="4" fillId="0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0" fontId="5" fillId="0" borderId="0" xfId="0" applyFont="1" applyFill="1" applyAlignment="1">
      <alignment horizontal="center" vertical="center" wrapText="1"/>
    </xf>
    <xf numFmtId="14" fontId="5" fillId="0" borderId="0" xfId="0" applyNumberFormat="1" applyFont="1" applyFill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Fill="1" applyAlignment="1">
      <alignment horizontal="center"/>
    </xf>
    <xf numFmtId="0" fontId="5" fillId="0" borderId="0" xfId="0" applyFont="1" applyFill="1" applyAlignment="1"/>
    <xf numFmtId="0" fontId="5" fillId="0" borderId="0" xfId="0" applyFont="1" applyFill="1" applyAlignment="1">
      <alignment horizontal="left" wrapText="1"/>
    </xf>
    <xf numFmtId="0" fontId="0" fillId="0" borderId="0" xfId="0" applyAlignment="1"/>
    <xf numFmtId="0" fontId="3" fillId="0" borderId="0" xfId="0" applyFont="1" applyAlignment="1"/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tabSelected="1" zoomScale="76" zoomScaleNormal="100" workbookViewId="0">
      <selection activeCell="A28" sqref="A28:XFD28"/>
    </sheetView>
  </sheetViews>
  <sheetFormatPr baseColWidth="10" defaultColWidth="11.54296875" defaultRowHeight="15.5"/>
  <cols>
    <col min="1" max="1" width="14.90625" style="8" customWidth="1"/>
    <col min="2" max="2" width="7.54296875" style="8" bestFit="1" customWidth="1"/>
    <col min="3" max="3" width="34" style="8" bestFit="1" customWidth="1"/>
    <col min="4" max="4" width="25.6328125" style="8" customWidth="1"/>
    <col min="5" max="5" width="52.36328125" style="8" bestFit="1" customWidth="1"/>
    <col min="6" max="6" width="22" style="8" customWidth="1"/>
    <col min="7" max="7" width="37.36328125" style="20" bestFit="1" customWidth="1"/>
    <col min="8" max="8" width="62.90625" style="8" bestFit="1" customWidth="1"/>
    <col min="9" max="16" width="10.90625" customWidth="1"/>
    <col min="17" max="16384" width="11.54296875" style="8"/>
  </cols>
  <sheetData>
    <row r="1" spans="1:16" s="15" customFormat="1" ht="20" customHeight="1">
      <c r="A1" s="28" t="s">
        <v>0</v>
      </c>
      <c r="B1" s="28"/>
      <c r="C1" s="28"/>
      <c r="D1" s="28"/>
      <c r="E1" s="28"/>
      <c r="F1" s="28"/>
      <c r="G1" s="28"/>
      <c r="H1" s="28"/>
      <c r="I1" s="14"/>
      <c r="J1" s="14"/>
      <c r="K1" s="14"/>
      <c r="L1" s="14"/>
      <c r="M1" s="14"/>
      <c r="N1" s="14"/>
      <c r="O1" s="14"/>
      <c r="P1" s="14"/>
    </row>
    <row r="2" spans="1:16" s="15" customFormat="1" ht="20" customHeight="1">
      <c r="A2" s="28" t="s">
        <v>97</v>
      </c>
      <c r="B2" s="28"/>
      <c r="C2" s="28"/>
      <c r="D2" s="28"/>
      <c r="E2" s="28"/>
      <c r="F2" s="28"/>
      <c r="G2" s="28"/>
      <c r="H2" s="28"/>
      <c r="I2" s="14"/>
      <c r="J2" s="14"/>
      <c r="K2" s="14"/>
      <c r="L2" s="14"/>
      <c r="M2" s="14"/>
      <c r="N2" s="14"/>
      <c r="O2" s="14"/>
      <c r="P2" s="14"/>
    </row>
    <row r="4" spans="1:16">
      <c r="A4" s="9" t="s">
        <v>2</v>
      </c>
      <c r="B4" s="9" t="s">
        <v>33</v>
      </c>
      <c r="C4" s="9" t="s">
        <v>1</v>
      </c>
      <c r="D4" s="9" t="s">
        <v>9</v>
      </c>
      <c r="E4" s="9" t="s">
        <v>89</v>
      </c>
      <c r="F4" s="9" t="s">
        <v>10</v>
      </c>
      <c r="G4" s="16" t="s">
        <v>90</v>
      </c>
      <c r="H4" s="9" t="s">
        <v>20</v>
      </c>
    </row>
    <row r="5" spans="1:16" s="25" customFormat="1" ht="62">
      <c r="A5" s="27" t="s">
        <v>18</v>
      </c>
      <c r="B5" s="21" t="s">
        <v>34</v>
      </c>
      <c r="C5" s="22" t="s">
        <v>3</v>
      </c>
      <c r="D5" s="22"/>
      <c r="E5" s="26" t="s">
        <v>17</v>
      </c>
      <c r="F5" s="26" t="s">
        <v>11</v>
      </c>
      <c r="G5" s="23" t="s">
        <v>98</v>
      </c>
      <c r="H5" s="22"/>
      <c r="I5" s="24"/>
      <c r="J5" s="24"/>
      <c r="K5" s="24"/>
      <c r="L5" s="24"/>
      <c r="M5" s="24"/>
      <c r="N5" s="24"/>
      <c r="O5" s="24"/>
      <c r="P5" s="24"/>
    </row>
    <row r="6" spans="1:16">
      <c r="A6" s="27"/>
      <c r="B6" s="10" t="s">
        <v>35</v>
      </c>
      <c r="C6" s="11" t="s">
        <v>4</v>
      </c>
      <c r="D6" s="11"/>
      <c r="E6" s="11"/>
      <c r="F6" s="11" t="s">
        <v>12</v>
      </c>
      <c r="G6" s="17"/>
      <c r="H6" s="11"/>
    </row>
    <row r="7" spans="1:16">
      <c r="A7" s="27"/>
      <c r="B7" s="10" t="s">
        <v>36</v>
      </c>
      <c r="C7" s="11" t="s">
        <v>5</v>
      </c>
      <c r="D7" s="11"/>
      <c r="E7" s="11"/>
      <c r="F7" s="11" t="s">
        <v>13</v>
      </c>
      <c r="G7" s="17"/>
      <c r="H7" s="11"/>
    </row>
    <row r="8" spans="1:16">
      <c r="A8" s="27"/>
      <c r="B8" s="10" t="s">
        <v>37</v>
      </c>
      <c r="C8" s="11" t="s">
        <v>6</v>
      </c>
      <c r="D8" s="11"/>
      <c r="E8" s="11"/>
      <c r="F8" s="11" t="s">
        <v>14</v>
      </c>
      <c r="G8" s="17"/>
      <c r="H8" s="11"/>
    </row>
    <row r="9" spans="1:16">
      <c r="A9" s="27"/>
      <c r="B9" s="10" t="s">
        <v>38</v>
      </c>
      <c r="C9" s="11" t="s">
        <v>7</v>
      </c>
      <c r="D9" s="11"/>
      <c r="E9" s="11"/>
      <c r="F9" s="11" t="s">
        <v>15</v>
      </c>
      <c r="G9" s="17"/>
      <c r="H9" s="11"/>
    </row>
    <row r="10" spans="1:16">
      <c r="A10" s="27"/>
      <c r="B10" s="10" t="s">
        <v>39</v>
      </c>
      <c r="C10" s="11" t="s">
        <v>8</v>
      </c>
      <c r="D10" s="11"/>
      <c r="E10" s="11"/>
      <c r="F10" s="11" t="s">
        <v>16</v>
      </c>
      <c r="G10" s="17"/>
      <c r="H10" s="11"/>
    </row>
    <row r="11" spans="1:16">
      <c r="A11" s="27" t="s">
        <v>57</v>
      </c>
      <c r="B11" s="10" t="s">
        <v>40</v>
      </c>
      <c r="C11" s="11" t="s">
        <v>19</v>
      </c>
      <c r="D11" s="11"/>
      <c r="E11" s="11" t="s">
        <v>50</v>
      </c>
      <c r="F11" s="27" t="s">
        <v>31</v>
      </c>
      <c r="G11" s="18" t="s">
        <v>91</v>
      </c>
      <c r="H11" s="11"/>
    </row>
    <row r="12" spans="1:16">
      <c r="A12" s="27"/>
      <c r="B12" s="10" t="s">
        <v>41</v>
      </c>
      <c r="C12" s="11" t="s">
        <v>21</v>
      </c>
      <c r="D12" s="11"/>
      <c r="E12" s="11" t="s">
        <v>58</v>
      </c>
      <c r="F12" s="27"/>
      <c r="G12" s="18"/>
      <c r="H12" s="11"/>
    </row>
    <row r="13" spans="1:16">
      <c r="A13" s="27"/>
      <c r="B13" s="10" t="s">
        <v>42</v>
      </c>
      <c r="C13" s="11" t="s">
        <v>22</v>
      </c>
      <c r="D13" s="11"/>
      <c r="E13" s="11"/>
      <c r="F13" s="27"/>
      <c r="G13" s="18"/>
      <c r="H13" s="11"/>
    </row>
    <row r="14" spans="1:16">
      <c r="A14" s="27"/>
      <c r="B14" s="10" t="s">
        <v>43</v>
      </c>
      <c r="C14" s="11" t="s">
        <v>23</v>
      </c>
      <c r="D14" s="11"/>
      <c r="E14" s="11"/>
      <c r="F14" s="27"/>
      <c r="G14" s="18"/>
      <c r="H14" s="11"/>
    </row>
    <row r="15" spans="1:16">
      <c r="A15" s="27"/>
      <c r="B15" s="10" t="s">
        <v>44</v>
      </c>
      <c r="C15" s="11" t="s">
        <v>24</v>
      </c>
      <c r="D15" s="11"/>
      <c r="E15" s="12"/>
      <c r="F15" s="27"/>
      <c r="G15" s="18"/>
      <c r="H15" s="11"/>
    </row>
    <row r="16" spans="1:16">
      <c r="A16" s="27" t="s">
        <v>30</v>
      </c>
      <c r="B16" s="10" t="s">
        <v>45</v>
      </c>
      <c r="C16" s="11" t="s">
        <v>25</v>
      </c>
      <c r="D16" s="11"/>
      <c r="E16" s="12" t="s">
        <v>100</v>
      </c>
      <c r="F16" s="27" t="s">
        <v>32</v>
      </c>
      <c r="G16" s="18"/>
      <c r="H16" s="11" t="s">
        <v>101</v>
      </c>
    </row>
    <row r="17" spans="1:8">
      <c r="A17" s="27"/>
      <c r="B17" s="10" t="s">
        <v>46</v>
      </c>
      <c r="C17" s="11" t="s">
        <v>26</v>
      </c>
      <c r="D17" s="11"/>
      <c r="E17" s="12" t="s">
        <v>99</v>
      </c>
      <c r="F17" s="27"/>
      <c r="G17" s="18"/>
      <c r="H17" s="11"/>
    </row>
    <row r="18" spans="1:8">
      <c r="A18" s="27"/>
      <c r="B18" s="10" t="s">
        <v>47</v>
      </c>
      <c r="C18" s="11" t="s">
        <v>27</v>
      </c>
      <c r="D18" s="11"/>
      <c r="E18" s="12"/>
      <c r="F18" s="27"/>
      <c r="G18" s="18"/>
      <c r="H18" s="11"/>
    </row>
    <row r="19" spans="1:8">
      <c r="A19" s="27"/>
      <c r="B19" s="10" t="s">
        <v>48</v>
      </c>
      <c r="C19" s="11" t="s">
        <v>28</v>
      </c>
      <c r="D19" s="11"/>
      <c r="E19" s="13"/>
      <c r="F19" s="27"/>
      <c r="G19" s="18"/>
      <c r="H19" s="11"/>
    </row>
    <row r="20" spans="1:8">
      <c r="A20" s="27"/>
      <c r="B20" s="10" t="s">
        <v>49</v>
      </c>
      <c r="C20" s="11" t="s">
        <v>29</v>
      </c>
      <c r="D20" s="11"/>
      <c r="E20" s="11"/>
      <c r="F20" s="27"/>
      <c r="G20" s="18"/>
      <c r="H20" s="11" t="s">
        <v>102</v>
      </c>
    </row>
    <row r="21" spans="1:8">
      <c r="A21" s="27" t="s">
        <v>51</v>
      </c>
      <c r="B21" s="10" t="s">
        <v>53</v>
      </c>
      <c r="C21" s="11" t="s">
        <v>51</v>
      </c>
      <c r="D21" s="11"/>
      <c r="E21" s="11" t="s">
        <v>103</v>
      </c>
      <c r="F21" s="11"/>
      <c r="G21" s="17"/>
      <c r="H21" s="11"/>
    </row>
    <row r="22" spans="1:8">
      <c r="A22" s="27"/>
      <c r="B22" s="10" t="s">
        <v>54</v>
      </c>
      <c r="C22" s="11" t="s">
        <v>82</v>
      </c>
      <c r="D22" s="11"/>
      <c r="E22" s="11"/>
      <c r="F22" s="11"/>
      <c r="G22" s="17"/>
      <c r="H22" s="11"/>
    </row>
    <row r="23" spans="1:8">
      <c r="A23" s="27"/>
      <c r="B23" s="10" t="s">
        <v>55</v>
      </c>
      <c r="C23" s="11" t="s">
        <v>83</v>
      </c>
      <c r="D23" s="11"/>
      <c r="E23" s="11"/>
      <c r="F23" s="11"/>
      <c r="G23" s="17"/>
      <c r="H23" s="11"/>
    </row>
    <row r="24" spans="1:8">
      <c r="A24" s="27"/>
      <c r="B24" s="10" t="s">
        <v>92</v>
      </c>
      <c r="C24" s="11" t="s">
        <v>84</v>
      </c>
      <c r="D24" s="11"/>
      <c r="E24" s="11"/>
      <c r="F24" s="11"/>
      <c r="G24" s="17"/>
      <c r="H24" s="11"/>
    </row>
    <row r="25" spans="1:8">
      <c r="A25" s="27"/>
      <c r="B25" s="10" t="s">
        <v>93</v>
      </c>
      <c r="C25" s="11" t="s">
        <v>85</v>
      </c>
      <c r="D25" s="11"/>
      <c r="E25" s="11"/>
      <c r="F25" s="11"/>
      <c r="G25" s="17"/>
      <c r="H25" s="11"/>
    </row>
    <row r="26" spans="1:8">
      <c r="A26" s="27"/>
      <c r="B26" s="10" t="s">
        <v>94</v>
      </c>
      <c r="C26" s="11" t="s">
        <v>56</v>
      </c>
      <c r="D26" s="11"/>
      <c r="E26" s="11" t="s">
        <v>104</v>
      </c>
      <c r="F26" s="12"/>
      <c r="G26" s="19"/>
      <c r="H26" s="11"/>
    </row>
    <row r="27" spans="1:8">
      <c r="A27" s="11"/>
      <c r="B27" s="10" t="s">
        <v>95</v>
      </c>
      <c r="C27" s="11" t="s">
        <v>81</v>
      </c>
      <c r="D27" s="11"/>
      <c r="E27" s="11" t="s">
        <v>105</v>
      </c>
      <c r="F27" s="12"/>
      <c r="G27" s="19"/>
      <c r="H27" s="11"/>
    </row>
    <row r="28" spans="1:8">
      <c r="B28" s="10" t="s">
        <v>96</v>
      </c>
      <c r="C28" s="11" t="s">
        <v>52</v>
      </c>
      <c r="H28" s="8" t="s">
        <v>106</v>
      </c>
    </row>
  </sheetData>
  <mergeCells count="8">
    <mergeCell ref="A1:H1"/>
    <mergeCell ref="A2:H2"/>
    <mergeCell ref="A21:A26"/>
    <mergeCell ref="A5:A10"/>
    <mergeCell ref="A11:A15"/>
    <mergeCell ref="A16:A20"/>
    <mergeCell ref="F11:F15"/>
    <mergeCell ref="F16:F20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2"/>
  <sheetViews>
    <sheetView workbookViewId="0">
      <selection activeCell="N22" sqref="N22"/>
    </sheetView>
  </sheetViews>
  <sheetFormatPr baseColWidth="10" defaultRowHeight="14.5"/>
  <cols>
    <col min="12" max="12" width="18.36328125" bestFit="1" customWidth="1"/>
  </cols>
  <sheetData>
    <row r="2" spans="2:12">
      <c r="B2" s="29" t="s">
        <v>11</v>
      </c>
      <c r="C2" s="29"/>
      <c r="D2" s="29"/>
      <c r="E2" s="29"/>
      <c r="G2" s="29" t="s">
        <v>31</v>
      </c>
      <c r="H2" s="29"/>
      <c r="I2" s="29"/>
      <c r="J2" s="7"/>
      <c r="K2" s="7"/>
    </row>
    <row r="3" spans="2:12">
      <c r="B3" s="3" t="s">
        <v>59</v>
      </c>
      <c r="C3" s="1" t="s">
        <v>60</v>
      </c>
      <c r="D3" s="1" t="s">
        <v>61</v>
      </c>
      <c r="E3" s="1" t="s">
        <v>62</v>
      </c>
      <c r="G3" s="1" t="s">
        <v>69</v>
      </c>
      <c r="H3" s="3" t="s">
        <v>59</v>
      </c>
      <c r="I3" s="1" t="s">
        <v>70</v>
      </c>
      <c r="J3" s="1" t="s">
        <v>86</v>
      </c>
      <c r="K3" s="1"/>
      <c r="L3" s="5" t="s">
        <v>77</v>
      </c>
    </row>
    <row r="4" spans="2:12">
      <c r="B4" s="4" t="s">
        <v>66</v>
      </c>
      <c r="C4" t="s">
        <v>63</v>
      </c>
      <c r="D4">
        <v>200000</v>
      </c>
      <c r="E4">
        <v>150000</v>
      </c>
      <c r="G4" t="s">
        <v>71</v>
      </c>
      <c r="H4" s="4" t="s">
        <v>67</v>
      </c>
      <c r="I4">
        <v>2</v>
      </c>
      <c r="J4">
        <v>0.1</v>
      </c>
      <c r="K4">
        <f>J4*D5</f>
        <v>300</v>
      </c>
      <c r="L4" s="6">
        <f>I4*D5</f>
        <v>6000</v>
      </c>
    </row>
    <row r="5" spans="2:12">
      <c r="B5" s="4" t="s">
        <v>67</v>
      </c>
      <c r="C5" t="s">
        <v>64</v>
      </c>
      <c r="D5">
        <v>3000</v>
      </c>
      <c r="E5">
        <v>2000</v>
      </c>
      <c r="G5" t="s">
        <v>72</v>
      </c>
      <c r="H5" s="4" t="s">
        <v>66</v>
      </c>
      <c r="I5">
        <v>1</v>
      </c>
      <c r="J5">
        <v>20</v>
      </c>
      <c r="K5">
        <f t="shared" ref="K5:K9" si="0">J5*D6</f>
        <v>40000</v>
      </c>
      <c r="L5" s="6">
        <f>D4</f>
        <v>200000</v>
      </c>
    </row>
    <row r="6" spans="2:12">
      <c r="B6" s="4" t="s">
        <v>68</v>
      </c>
      <c r="C6" t="s">
        <v>65</v>
      </c>
      <c r="D6">
        <v>2000</v>
      </c>
      <c r="E6">
        <v>1500</v>
      </c>
      <c r="G6" t="s">
        <v>73</v>
      </c>
      <c r="H6" s="4" t="s">
        <v>68</v>
      </c>
      <c r="I6">
        <v>1</v>
      </c>
      <c r="J6">
        <v>30</v>
      </c>
      <c r="K6">
        <f t="shared" si="0"/>
        <v>0</v>
      </c>
      <c r="L6" s="6">
        <f>I6*D6</f>
        <v>2000</v>
      </c>
    </row>
    <row r="7" spans="2:12">
      <c r="G7" t="s">
        <v>74</v>
      </c>
      <c r="H7" s="4" t="s">
        <v>67</v>
      </c>
      <c r="I7">
        <v>2</v>
      </c>
      <c r="J7">
        <v>40</v>
      </c>
      <c r="K7">
        <f t="shared" si="0"/>
        <v>0</v>
      </c>
      <c r="L7" s="6">
        <f>D5</f>
        <v>3000</v>
      </c>
    </row>
    <row r="8" spans="2:12">
      <c r="G8" t="s">
        <v>75</v>
      </c>
      <c r="H8" s="4" t="s">
        <v>67</v>
      </c>
      <c r="I8">
        <v>3</v>
      </c>
      <c r="J8">
        <v>50</v>
      </c>
      <c r="K8">
        <f t="shared" si="0"/>
        <v>0</v>
      </c>
      <c r="L8" s="6">
        <f>I8*D5</f>
        <v>9000</v>
      </c>
    </row>
    <row r="9" spans="2:12">
      <c r="G9" t="s">
        <v>76</v>
      </c>
      <c r="H9" s="4" t="s">
        <v>67</v>
      </c>
      <c r="I9">
        <v>4</v>
      </c>
      <c r="J9">
        <v>60</v>
      </c>
      <c r="K9">
        <f t="shared" si="0"/>
        <v>0</v>
      </c>
      <c r="L9" s="6">
        <f>I9*D6</f>
        <v>8000</v>
      </c>
    </row>
    <row r="10" spans="2:12">
      <c r="L10" s="6"/>
    </row>
    <row r="11" spans="2:12">
      <c r="L11" s="6"/>
    </row>
    <row r="12" spans="2:12">
      <c r="I12" s="2" t="s">
        <v>78</v>
      </c>
      <c r="J12" s="2"/>
      <c r="K12" s="2"/>
      <c r="L12" s="6">
        <f>SUM(L4:L9)</f>
        <v>228000</v>
      </c>
    </row>
    <row r="16" spans="2:12">
      <c r="F16" t="s">
        <v>79</v>
      </c>
    </row>
    <row r="19" spans="6:14">
      <c r="M19" t="s">
        <v>87</v>
      </c>
      <c r="N19" t="s">
        <v>88</v>
      </c>
    </row>
    <row r="20" spans="6:14">
      <c r="J20">
        <v>1000</v>
      </c>
      <c r="L20">
        <v>0.2</v>
      </c>
      <c r="M20">
        <f>L20*J20</f>
        <v>200</v>
      </c>
      <c r="N20">
        <f>J20-M20</f>
        <v>800</v>
      </c>
    </row>
    <row r="22" spans="6:14">
      <c r="F22" t="s">
        <v>80</v>
      </c>
    </row>
  </sheetData>
  <mergeCells count="2">
    <mergeCell ref="B2:E2"/>
    <mergeCell ref="G2:I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Ref KPIs</vt:lpstr>
      <vt:lpstr>Annexes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FETEGUE</dc:creator>
  <cp:lastModifiedBy>PC</cp:lastModifiedBy>
  <dcterms:created xsi:type="dcterms:W3CDTF">2023-08-28T19:03:00Z</dcterms:created>
  <dcterms:modified xsi:type="dcterms:W3CDTF">2026-06-15T07:24:50Z</dcterms:modified>
</cp:coreProperties>
</file>